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\OneDrive\Documentos\portafolio archivos\"/>
    </mc:Choice>
  </mc:AlternateContent>
  <xr:revisionPtr revIDLastSave="0" documentId="8_{838D52FE-129C-44A8-81F7-4D3959B0AE34}" xr6:coauthVersionLast="47" xr6:coauthVersionMax="47" xr10:uidLastSave="{00000000-0000-0000-0000-000000000000}"/>
  <bookViews>
    <workbookView xWindow="1428" yWindow="1428" windowWidth="17280" windowHeight="10200" activeTab="1" xr2:uid="{1C6CDDC9-A040-4EE2-A1B2-6FC5D9338BD2}"/>
  </bookViews>
  <sheets>
    <sheet name="base de datos" sheetId="1" r:id="rId1"/>
    <sheet name="Hoja2" sheetId="2" r:id="rId2"/>
  </sheets>
  <definedNames>
    <definedName name="Estudiantes">Tabla1[]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2" l="1"/>
  <c r="C13" i="2" s="1"/>
  <c r="C9" i="2"/>
  <c r="C7" i="2"/>
  <c r="C5" i="2"/>
  <c r="E3" i="1"/>
  <c r="E4" i="1"/>
  <c r="E5" i="1"/>
  <c r="E6" i="1"/>
  <c r="E7" i="1"/>
  <c r="E8" i="1"/>
  <c r="E9" i="1"/>
  <c r="E10" i="1"/>
  <c r="E11" i="1"/>
  <c r="E12" i="1"/>
  <c r="E13" i="1"/>
  <c r="E2" i="1"/>
</calcChain>
</file>

<file path=xl/sharedStrings.xml><?xml version="1.0" encoding="utf-8"?>
<sst xmlns="http://schemas.openxmlformats.org/spreadsheetml/2006/main" count="37" uniqueCount="36">
  <si>
    <t>Código</t>
  </si>
  <si>
    <t>Nombre</t>
  </si>
  <si>
    <t>Matemática</t>
  </si>
  <si>
    <t>Lenguaje</t>
  </si>
  <si>
    <t>Promedio</t>
  </si>
  <si>
    <t>E001</t>
  </si>
  <si>
    <t>Ana López</t>
  </si>
  <si>
    <t>E002</t>
  </si>
  <si>
    <t>Luis Martínez</t>
  </si>
  <si>
    <t>E003</t>
  </si>
  <si>
    <t>María García</t>
  </si>
  <si>
    <t>E004</t>
  </si>
  <si>
    <t>Carlos Ramírez</t>
  </si>
  <si>
    <t>E005</t>
  </si>
  <si>
    <t>Sofía Hernández</t>
  </si>
  <si>
    <t>E006</t>
  </si>
  <si>
    <t>Diego Morales</t>
  </si>
  <si>
    <t>E007</t>
  </si>
  <si>
    <t>Laura Castillo</t>
  </si>
  <si>
    <t>E008</t>
  </si>
  <si>
    <t>José Rivera</t>
  </si>
  <si>
    <t>E009</t>
  </si>
  <si>
    <t>Valentina Torres</t>
  </si>
  <si>
    <t>E010</t>
  </si>
  <si>
    <t>Andrés Vargas</t>
  </si>
  <si>
    <t>E011</t>
  </si>
  <si>
    <t>Camila Soto</t>
  </si>
  <si>
    <t>E012</t>
  </si>
  <si>
    <t>Ricardo Méndez</t>
  </si>
  <si>
    <t>Consulta de Notas - Sistema Académico</t>
  </si>
  <si>
    <t>Estado:</t>
  </si>
  <si>
    <t>Promedio:</t>
  </si>
  <si>
    <t>Nota lenguaje:</t>
  </si>
  <si>
    <t>Nota Matematica:</t>
  </si>
  <si>
    <t>Nombre:</t>
  </si>
  <si>
    <t>Código del Estudiante: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</si>
</sst>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Edwardian Script ITC"/>
      <family val="4"/>
    </font>
    <font>
      <b/>
      <sz val="36"/>
      <color theme="4" tint="-0.499984740745262"/>
      <name val="Edwardian Script ITC"/>
      <family val="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CF0F8"/>
        <bgColor indexed="64"/>
      </patternFill>
    </fill>
  </fills>
  <borders count="4">
    <border>
      <left/>
      <right/>
      <top/>
      <bottom/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medium">
        <color theme="8" tint="-0.499984740745262"/>
      </left>
      <right/>
      <top style="medium">
        <color theme="8" tint="-0.499984740745262"/>
      </top>
      <bottom style="medium">
        <color theme="8" tint="-0.499984740745262"/>
      </bottom>
      <diagonal/>
    </border>
    <border>
      <left/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0" fillId="2" borderId="0" xfId="0" applyFill="1"/>
    <xf numFmtId="0" fontId="0" fillId="2" borderId="0" xfId="0" applyFill="1" applyBorder="1"/>
    <xf numFmtId="0" fontId="0" fillId="2" borderId="0" xfId="0" applyFill="1" applyBorder="1" applyAlignment="1"/>
    <xf numFmtId="0" fontId="0" fillId="3" borderId="1" xfId="0" applyFill="1" applyBorder="1" applyAlignment="1"/>
    <xf numFmtId="0" fontId="0" fillId="0" borderId="1" xfId="0" applyBorder="1"/>
    <xf numFmtId="0" fontId="3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</cellXfs>
  <cellStyles count="1">
    <cellStyle name="Normal" xfId="0" builtinId="0"/>
  </cellStyles>
  <dxfs count="11">
    <dxf>
      <font>
        <b/>
        <i val="0"/>
        <color rgb="FFFF0000"/>
      </font>
      <fill>
        <patternFill>
          <bgColor theme="0"/>
        </patternFill>
      </fill>
    </dxf>
    <dxf>
      <font>
        <color theme="9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numFmt numFmtId="164" formatCode="0.0"/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5050"/>
      <color rgb="FFECF0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678180</xdr:colOff>
      <xdr:row>1</xdr:row>
      <xdr:rowOff>114300</xdr:rowOff>
    </xdr:from>
    <xdr:to>
      <xdr:col>7</xdr:col>
      <xdr:colOff>693420</xdr:colOff>
      <xdr:row>13</xdr:row>
      <xdr:rowOff>167640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DD5216AA-BD30-434F-8912-0E9DED5A15D1}"/>
            </a:ext>
          </a:extLst>
        </xdr:cNvPr>
        <xdr:cNvSpPr/>
      </xdr:nvSpPr>
      <xdr:spPr>
        <a:xfrm>
          <a:off x="678180" y="1127760"/>
          <a:ext cx="6256020" cy="2247900"/>
        </a:xfrm>
        <a:prstGeom prst="rect">
          <a:avLst/>
        </a:prstGeom>
        <a:noFill/>
        <a:ln w="2857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SV" sz="1100"/>
        </a:p>
      </xdr:txBody>
    </xdr:sp>
    <xdr:clientData/>
  </xdr:twoCellAnchor>
  <xdr:twoCellAnchor>
    <xdr:from>
      <xdr:col>0</xdr:col>
      <xdr:colOff>114300</xdr:colOff>
      <xdr:row>0</xdr:row>
      <xdr:rowOff>99060</xdr:rowOff>
    </xdr:from>
    <xdr:to>
      <xdr:col>8</xdr:col>
      <xdr:colOff>228600</xdr:colOff>
      <xdr:row>1</xdr:row>
      <xdr:rowOff>7620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1567130D-CA8B-46BF-8E11-B94886E5C56C}"/>
            </a:ext>
          </a:extLst>
        </xdr:cNvPr>
        <xdr:cNvSpPr/>
      </xdr:nvSpPr>
      <xdr:spPr>
        <a:xfrm>
          <a:off x="114300" y="99060"/>
          <a:ext cx="6454140" cy="922020"/>
        </a:xfrm>
        <a:prstGeom prst="rect">
          <a:avLst/>
        </a:prstGeom>
        <a:noFill/>
        <a:ln w="28575"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SV" sz="1100"/>
        </a:p>
      </xdr:txBody>
    </xdr:sp>
    <xdr:clientData/>
  </xdr:twoCellAnchor>
  <xdr:twoCellAnchor editAs="oneCell">
    <xdr:from>
      <xdr:col>5</xdr:col>
      <xdr:colOff>60960</xdr:colOff>
      <xdr:row>2</xdr:row>
      <xdr:rowOff>0</xdr:rowOff>
    </xdr:from>
    <xdr:to>
      <xdr:col>7</xdr:col>
      <xdr:colOff>594360</xdr:colOff>
      <xdr:row>13</xdr:row>
      <xdr:rowOff>68580</xdr:rowOff>
    </xdr:to>
    <xdr:pic>
      <xdr:nvPicPr>
        <xdr:cNvPr id="4" name="Imagen 3" descr="Colegio Bautista Mies | Soyapango">
          <a:extLst>
            <a:ext uri="{FF2B5EF4-FFF2-40B4-BE49-F238E27FC236}">
              <a16:creationId xmlns:a16="http://schemas.microsoft.com/office/drawing/2014/main" id="{1A1E3FDE-787D-4250-9B2E-213AFA5A4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6780" y="1203960"/>
          <a:ext cx="2118360" cy="2164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AE292A-2A20-477D-AF8F-488F14CA85A7}" name="Tabla1" displayName="Tabla1" ref="A1:E13" totalsRowShown="0" headerRowDxfId="10" dataDxfId="9">
  <autoFilter ref="A1:E13" xr:uid="{41AE292A-2A20-477D-AF8F-488F14CA85A7}"/>
  <tableColumns count="5">
    <tableColumn id="1" xr3:uid="{276CA2C0-7CE3-4D5F-99C4-E2CC50F86A54}" name="Código" dataDxfId="8"/>
    <tableColumn id="2" xr3:uid="{3982DF92-9D76-4F01-ACC3-AA2A76A6E11D}" name="Nombre" dataDxfId="7"/>
    <tableColumn id="3" xr3:uid="{F2E108D1-1920-4B90-AF0F-BF5A2C8B1F17}" name="Matemática" dataDxfId="6"/>
    <tableColumn id="4" xr3:uid="{9B57A6AA-71B0-431A-AFD2-8812226CBB20}" name="Lenguaje" dataDxfId="5"/>
    <tableColumn id="5" xr3:uid="{A4BC91CE-0A04-4796-B9ED-ADA3E44C1759}" name="Promedio" dataDxfId="4">
      <calculatedColumnFormula>AVERAGE(Tabla1[[#This Row],[Matemática]],Tabla1[[#This Row],[Lenguaje]])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7BE2E-D2D4-4689-A6FB-80135F746BD9}">
  <dimension ref="A1:E13"/>
  <sheetViews>
    <sheetView workbookViewId="0">
      <selection activeCell="H8" sqref="H8"/>
    </sheetView>
  </sheetViews>
  <sheetFormatPr baseColWidth="10" defaultRowHeight="14.4" x14ac:dyDescent="0.3"/>
  <cols>
    <col min="3" max="3" width="13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3">
        <v>8.5</v>
      </c>
      <c r="D2" s="3">
        <v>9</v>
      </c>
      <c r="E2" s="3">
        <f>AVERAGE(Tabla1[[#This Row],[Matemática]],Tabla1[[#This Row],[Lenguaje]])</f>
        <v>8.75</v>
      </c>
    </row>
    <row r="3" spans="1:5" ht="28.8" x14ac:dyDescent="0.3">
      <c r="A3" s="2" t="s">
        <v>7</v>
      </c>
      <c r="B3" s="2" t="s">
        <v>8</v>
      </c>
      <c r="C3" s="3">
        <v>10</v>
      </c>
      <c r="D3" s="3">
        <v>10</v>
      </c>
      <c r="E3" s="3">
        <f>AVERAGE(Tabla1[[#This Row],[Matemática]],Tabla1[[#This Row],[Lenguaje]])</f>
        <v>10</v>
      </c>
    </row>
    <row r="4" spans="1:5" x14ac:dyDescent="0.3">
      <c r="A4" s="2" t="s">
        <v>9</v>
      </c>
      <c r="B4" s="2" t="s">
        <v>10</v>
      </c>
      <c r="C4" s="3">
        <v>9</v>
      </c>
      <c r="D4" s="3">
        <v>8.5</v>
      </c>
      <c r="E4" s="3">
        <f>AVERAGE(Tabla1[[#This Row],[Matemática]],Tabla1[[#This Row],[Lenguaje]])</f>
        <v>8.75</v>
      </c>
    </row>
    <row r="5" spans="1:5" ht="28.8" x14ac:dyDescent="0.3">
      <c r="A5" s="2" t="s">
        <v>11</v>
      </c>
      <c r="B5" s="2" t="s">
        <v>12</v>
      </c>
      <c r="C5" s="3">
        <v>7</v>
      </c>
      <c r="D5" s="3">
        <v>6</v>
      </c>
      <c r="E5" s="3">
        <f>AVERAGE(Tabla1[[#This Row],[Matemática]],Tabla1[[#This Row],[Lenguaje]])</f>
        <v>6.5</v>
      </c>
    </row>
    <row r="6" spans="1:5" ht="28.8" x14ac:dyDescent="0.3">
      <c r="A6" s="2" t="s">
        <v>13</v>
      </c>
      <c r="B6" s="2" t="s">
        <v>14</v>
      </c>
      <c r="C6" s="3">
        <v>8</v>
      </c>
      <c r="D6" s="3">
        <v>9.5</v>
      </c>
      <c r="E6" s="3">
        <f>AVERAGE(Tabla1[[#This Row],[Matemática]],Tabla1[[#This Row],[Lenguaje]])</f>
        <v>8.75</v>
      </c>
    </row>
    <row r="7" spans="1:5" ht="28.8" x14ac:dyDescent="0.3">
      <c r="A7" s="2" t="s">
        <v>15</v>
      </c>
      <c r="B7" s="2" t="s">
        <v>16</v>
      </c>
      <c r="C7" s="3">
        <v>5.5</v>
      </c>
      <c r="D7" s="3">
        <v>6</v>
      </c>
      <c r="E7" s="3">
        <f>AVERAGE(Tabla1[[#This Row],[Matemática]],Tabla1[[#This Row],[Lenguaje]])</f>
        <v>5.75</v>
      </c>
    </row>
    <row r="8" spans="1:5" ht="28.8" x14ac:dyDescent="0.3">
      <c r="A8" s="2" t="s">
        <v>17</v>
      </c>
      <c r="B8" s="2" t="s">
        <v>18</v>
      </c>
      <c r="C8" s="3">
        <v>10</v>
      </c>
      <c r="D8" s="3">
        <v>10</v>
      </c>
      <c r="E8" s="3">
        <f>AVERAGE(Tabla1[[#This Row],[Matemática]],Tabla1[[#This Row],[Lenguaje]])</f>
        <v>10</v>
      </c>
    </row>
    <row r="9" spans="1:5" x14ac:dyDescent="0.3">
      <c r="A9" s="2" t="s">
        <v>19</v>
      </c>
      <c r="B9" s="2" t="s">
        <v>20</v>
      </c>
      <c r="C9" s="3">
        <v>7.5</v>
      </c>
      <c r="D9" s="3">
        <v>5</v>
      </c>
      <c r="E9" s="3">
        <f>AVERAGE(Tabla1[[#This Row],[Matemática]],Tabla1[[#This Row],[Lenguaje]])</f>
        <v>6.25</v>
      </c>
    </row>
    <row r="10" spans="1:5" ht="28.8" x14ac:dyDescent="0.3">
      <c r="A10" s="2" t="s">
        <v>21</v>
      </c>
      <c r="B10" s="2" t="s">
        <v>22</v>
      </c>
      <c r="C10" s="3">
        <v>6.5</v>
      </c>
      <c r="D10" s="3">
        <v>8.5</v>
      </c>
      <c r="E10" s="3">
        <f>AVERAGE(Tabla1[[#This Row],[Matemática]],Tabla1[[#This Row],[Lenguaje]])</f>
        <v>7.5</v>
      </c>
    </row>
    <row r="11" spans="1:5" ht="28.8" x14ac:dyDescent="0.3">
      <c r="A11" s="2" t="s">
        <v>23</v>
      </c>
      <c r="B11" s="2" t="s">
        <v>24</v>
      </c>
      <c r="C11" s="3">
        <v>8</v>
      </c>
      <c r="D11" s="3">
        <v>3</v>
      </c>
      <c r="E11" s="3">
        <f>AVERAGE(Tabla1[[#This Row],[Matemática]],Tabla1[[#This Row],[Lenguaje]])</f>
        <v>5.5</v>
      </c>
    </row>
    <row r="12" spans="1:5" x14ac:dyDescent="0.3">
      <c r="A12" s="2" t="s">
        <v>25</v>
      </c>
      <c r="B12" s="2" t="s">
        <v>26</v>
      </c>
      <c r="C12" s="3">
        <v>9</v>
      </c>
      <c r="D12" s="3">
        <v>9</v>
      </c>
      <c r="E12" s="3">
        <f>AVERAGE(Tabla1[[#This Row],[Matemática]],Tabla1[[#This Row],[Lenguaje]])</f>
        <v>9</v>
      </c>
    </row>
    <row r="13" spans="1:5" ht="28.8" x14ac:dyDescent="0.3">
      <c r="A13" s="2" t="s">
        <v>27</v>
      </c>
      <c r="B13" s="2" t="s">
        <v>28</v>
      </c>
      <c r="C13" s="3">
        <v>4</v>
      </c>
      <c r="D13" s="3">
        <v>5.5</v>
      </c>
      <c r="E13" s="3">
        <f>AVERAGE(Tabla1[[#This Row],[Matemática]],Tabla1[[#This Row],[Lenguaje]])</f>
        <v>4.75</v>
      </c>
    </row>
  </sheetData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5ABB0-B98B-4B83-86C5-B39185FA7FC1}">
  <dimension ref="A1:Y36"/>
  <sheetViews>
    <sheetView tabSelected="1" workbookViewId="0">
      <selection activeCell="E19" sqref="E19"/>
    </sheetView>
  </sheetViews>
  <sheetFormatPr baseColWidth="10" defaultRowHeight="14.4" x14ac:dyDescent="0.3"/>
  <cols>
    <col min="1" max="1" width="10.6640625" customWidth="1"/>
    <col min="2" max="2" width="22.5546875" customWidth="1"/>
  </cols>
  <sheetData>
    <row r="1" spans="1:25" ht="79.8" customHeight="1" x14ac:dyDescent="0.3">
      <c r="A1" s="9" t="s">
        <v>29</v>
      </c>
      <c r="B1" s="10"/>
      <c r="C1" s="10"/>
      <c r="D1" s="10"/>
      <c r="E1" s="10"/>
      <c r="F1" s="10"/>
      <c r="G1" s="10"/>
      <c r="H1" s="10"/>
      <c r="I1" s="5"/>
      <c r="J1" s="5"/>
      <c r="K1" s="5"/>
      <c r="L1" s="5"/>
      <c r="M1" s="5"/>
      <c r="N1" s="5"/>
      <c r="O1" s="5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" thickBot="1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5" thickBot="1" x14ac:dyDescent="0.35">
      <c r="A3" s="5"/>
      <c r="B3" s="5" t="s">
        <v>35</v>
      </c>
      <c r="C3" s="11" t="s">
        <v>15</v>
      </c>
      <c r="D3" s="12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5" thickBo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5" thickBot="1" x14ac:dyDescent="0.35">
      <c r="A5" s="5"/>
      <c r="B5" s="4" t="s">
        <v>34</v>
      </c>
      <c r="C5" s="13" t="str">
        <f>IFERROR(VLOOKUP(C3,Estudiantes,2,FALSE),"Estudiante no encontrado")</f>
        <v>Diego Morales</v>
      </c>
      <c r="D5" s="1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5" thickBot="1" x14ac:dyDescent="0.3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5" thickBot="1" x14ac:dyDescent="0.35">
      <c r="A7" s="5"/>
      <c r="B7" s="5" t="s">
        <v>33</v>
      </c>
      <c r="C7" s="7">
        <f>IFERROR(VLOOKUP(C3,Estudiantes,3,FALSE),"—")</f>
        <v>5.5</v>
      </c>
      <c r="D7" s="6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5" thickBot="1" x14ac:dyDescent="0.3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5" thickBot="1" x14ac:dyDescent="0.35">
      <c r="A9" s="5"/>
      <c r="B9" s="5" t="s">
        <v>32</v>
      </c>
      <c r="C9" s="8">
        <f>IFERROR(VLOOKUP(C3,Estudiantes,4,FALSE),"—")</f>
        <v>6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5" thickBot="1" x14ac:dyDescent="0.3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5" thickBot="1" x14ac:dyDescent="0.35">
      <c r="A11" s="5"/>
      <c r="B11" s="5" t="s">
        <v>31</v>
      </c>
      <c r="C11" s="8">
        <f>IFERROR(VLOOKUP(C3,Estudiantes,5,FALSE),"—")</f>
        <v>5.75</v>
      </c>
      <c r="D11" s="5"/>
      <c r="E11" s="5"/>
      <c r="F11" s="5"/>
      <c r="G11" s="5"/>
      <c r="H11" s="5"/>
      <c r="I11" s="5"/>
      <c r="J11" s="5"/>
      <c r="K11" s="4"/>
      <c r="L11" s="5"/>
      <c r="M11" s="5"/>
      <c r="N11" s="5"/>
      <c r="O11" s="5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5" thickBot="1" x14ac:dyDescent="0.3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5" thickBot="1" x14ac:dyDescent="0.35">
      <c r="A13" s="5"/>
      <c r="B13" s="5" t="s">
        <v>30</v>
      </c>
      <c r="C13" s="11" t="str">
        <f>IFERROR(IF(C11&gt;=7, "APROBADO", "REPROBADO"), "—")</f>
        <v>REPROBADO</v>
      </c>
      <c r="D13" s="12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6:25" x14ac:dyDescent="0.3"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6:25" x14ac:dyDescent="0.3"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6:25" x14ac:dyDescent="0.3"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6:25" x14ac:dyDescent="0.3">
      <c r="P36" s="4"/>
      <c r="Q36" s="4"/>
      <c r="R36" s="4"/>
      <c r="S36" s="4"/>
      <c r="T36" s="4"/>
      <c r="U36" s="4"/>
      <c r="V36" s="4"/>
      <c r="W36" s="4"/>
      <c r="X36" s="4"/>
      <c r="Y36" s="4"/>
    </row>
  </sheetData>
  <mergeCells count="4">
    <mergeCell ref="A1:H1"/>
    <mergeCell ref="C3:D3"/>
    <mergeCell ref="C5:D5"/>
    <mergeCell ref="C13:D13"/>
  </mergeCells>
  <conditionalFormatting sqref="C11">
    <cfRule type="cellIs" dxfId="3" priority="4" operator="greaterThanOrEqual">
      <formula>7</formula>
    </cfRule>
    <cfRule type="cellIs" dxfId="2" priority="3" operator="lessThan">
      <formula>7</formula>
    </cfRule>
  </conditionalFormatting>
  <conditionalFormatting sqref="C13:D13">
    <cfRule type="containsText" dxfId="1" priority="2" operator="containsText" text="APROBADO">
      <formula>NOT(ISERROR(SEARCH("APROBADO",C13)))</formula>
    </cfRule>
    <cfRule type="containsText" dxfId="0" priority="1" operator="containsText" text="REPROBADO">
      <formula>NOT(ISERROR(SEARCH("REPROBADO",C13)))</formula>
    </cfRule>
  </conditionalFormatting>
  <pageMargins left="0.7" right="0.7" top="0.75" bottom="0.75" header="0.3" footer="0.3"/>
  <pageSetup orientation="portrait" horizontalDpi="4294967293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F98A4D-8B90-4312-90EF-09C2A90C0026}">
          <x14:formula1>
            <xm:f>'base de datos'!$A$1:$A$13</xm:f>
          </x14:formula1>
          <xm:sqref>C3:D3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base de datos</vt:lpstr>
      <vt:lpstr>Hoja2</vt:lpstr>
      <vt:lpstr>Estudiantes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Fabricio Guevara Zelaya</dc:creator>
  <cp:lastModifiedBy>Ricardo Fabricio Guevara Zelaya</cp:lastModifiedBy>
  <dcterms:created xsi:type="dcterms:W3CDTF">2026-04-14T20:22:03Z</dcterms:created>
  <dcterms:modified xsi:type="dcterms:W3CDTF">2026-05-18T06:27:23Z</dcterms:modified>
</cp:coreProperties>
</file>