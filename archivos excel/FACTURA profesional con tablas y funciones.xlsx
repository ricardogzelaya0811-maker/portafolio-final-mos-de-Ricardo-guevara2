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icar\OneDrive\Documentos\portafolio archivos\"/>
    </mc:Choice>
  </mc:AlternateContent>
  <xr:revisionPtr revIDLastSave="0" documentId="8_{2BD4E118-DBDC-4ECB-8B47-2F968165099B}" xr6:coauthVersionLast="47" xr6:coauthVersionMax="47" xr10:uidLastSave="{00000000-0000-0000-0000-000000000000}"/>
  <bookViews>
    <workbookView xWindow="3132" yWindow="1740" windowWidth="17280" windowHeight="10200" xr2:uid="{7035E0D6-E3DD-4D13-A4FD-2A2BB040E318}"/>
  </bookViews>
  <sheets>
    <sheet name="Factura" sheetId="1" r:id="rId1"/>
    <sheet name="Vendedores" sheetId="4" r:id="rId2"/>
    <sheet name="Clientes" sheetId="3" r:id="rId3"/>
    <sheet name="Productos" sheetId="2" r:id="rId4"/>
  </sheets>
  <definedNames>
    <definedName name="CLIENTES">Tabla2[#All]</definedName>
    <definedName name="PRODUCTOS">Productos!$A$1:$I$11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1" l="1"/>
  <c r="B7" i="1"/>
  <c r="F8" i="1"/>
  <c r="D8" i="1"/>
  <c r="F13" i="1"/>
  <c r="F14" i="1"/>
  <c r="F15" i="1"/>
  <c r="F16" i="1"/>
  <c r="F17" i="1"/>
  <c r="E13" i="1"/>
  <c r="E14" i="1"/>
  <c r="E15" i="1"/>
  <c r="E16" i="1"/>
  <c r="E17" i="1"/>
  <c r="E12" i="1"/>
  <c r="F12" i="1" s="1"/>
  <c r="F18" i="1"/>
  <c r="B12" i="1"/>
  <c r="B13" i="1"/>
  <c r="B14" i="1"/>
  <c r="B15" i="1"/>
  <c r="B16" i="1"/>
  <c r="B17" i="1"/>
  <c r="C13" i="1"/>
  <c r="C14" i="1"/>
  <c r="C15" i="1"/>
  <c r="C16" i="1"/>
  <c r="C17" i="1"/>
  <c r="C12" i="1"/>
  <c r="F3" i="1"/>
  <c r="F19" i="1" l="1"/>
  <c r="F2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<sst xmlns="http://schemas.openxmlformats.org/spreadsheetml/2006/main" count="135" uniqueCount="113">
  <si>
    <t>INFORMACION DEL CLIENTE</t>
  </si>
  <si>
    <t>INFORMACION DEL VENDEDOR:</t>
  </si>
  <si>
    <t>INFORMACION DEL EVENTO:</t>
  </si>
  <si>
    <t>DESCRIPCION</t>
  </si>
  <si>
    <t>CANTIDAD</t>
  </si>
  <si>
    <t>P. UNITARIO</t>
  </si>
  <si>
    <t>TOTAL</t>
  </si>
  <si>
    <t>LUGAR:</t>
  </si>
  <si>
    <t>DIRECCION:</t>
  </si>
  <si>
    <t>CLIENTE:</t>
  </si>
  <si>
    <t>TELEFONO:</t>
  </si>
  <si>
    <t>FECHA:</t>
  </si>
  <si>
    <t>INFORMATICA.COM</t>
  </si>
  <si>
    <t>FACTURA:</t>
  </si>
  <si>
    <t>CODIGO</t>
  </si>
  <si>
    <t>CODIGO:</t>
  </si>
  <si>
    <t>Codigo</t>
  </si>
  <si>
    <t>Descripcion</t>
  </si>
  <si>
    <t>Precio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</si>
  <si>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</si>
  <si>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</si>
  <si>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</si>
  <si>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</si>
  <si>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</si>
  <si>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</si>
  <si>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</si>
  <si>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</si>
  <si>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</si>
  <si>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</si>
  <si>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Categoría</t>
  </si>
  <si>
    <t>Nombre del Producto</t>
  </si>
  <si>
    <t>Procesador</t>
  </si>
  <si>
    <t>Memoria RAM</t>
  </si>
  <si>
    <t>Almacenamiento</t>
  </si>
  <si>
    <t>Tarjeta Gráfica</t>
  </si>
  <si>
    <t>Laptop</t>
  </si>
  <si>
    <t>ZenBook 14 Ultra</t>
  </si>
  <si>
    <t>Intel Core i7-1360P</t>
  </si>
  <si>
    <t>16GB LPDDR5</t>
  </si>
  <si>
    <t>512GB SSD NVMe</t>
  </si>
  <si>
    <t>Intel Iris Xe</t>
  </si>
  <si>
    <t>Laptop ultraportátil con pantalla OLED de 14 pulgadas y gran autonomía.</t>
  </si>
  <si>
    <t>ThinkPad X1 Carbon</t>
  </si>
  <si>
    <t>Intel Core i5-1335U</t>
  </si>
  <si>
    <t>256GB SSD NVMe</t>
  </si>
  <si>
    <t>Laptop empresarial ultraligera con chasis de fibra de carbono y alta seguridad.</t>
  </si>
  <si>
    <t>MacBook Air M3</t>
  </si>
  <si>
    <t>Apple M3 (8 núcleos)</t>
  </si>
  <si>
    <t>8GB Unificada</t>
  </si>
  <si>
    <t>256GB SSD</t>
  </si>
  <si>
    <t>Apple M3 GPU 8-core</t>
  </si>
  <si>
    <t>Diseño delgado sin ventilador, ideal para tareas cotidianas y productividad móvil.</t>
  </si>
  <si>
    <t>ROG Strix G16</t>
  </si>
  <si>
    <t>Intel Core i9-13980HX</t>
  </si>
  <si>
    <t>32GB DDR5</t>
  </si>
  <si>
    <t>1TB SSD NVMe</t>
  </si>
  <si>
    <t>NVIDIA RTX 4070</t>
  </si>
  <si>
    <t>Potente laptop de gaming con pantalla de 16" y tasa de refresco de 240Hz.</t>
  </si>
  <si>
    <t>Surface Laptop 5</t>
  </si>
  <si>
    <t>Intel Core i7-1255U</t>
  </si>
  <si>
    <t>16GB LPDDR5x</t>
  </si>
  <si>
    <t>512GB SSD</t>
  </si>
  <si>
    <t>Elegante laptop con pantalla táctil PixelSense y teclado de Alcantara.</t>
  </si>
  <si>
    <t>PC de Escritorio</t>
  </si>
  <si>
    <t>HP Pavilion Desktop</t>
  </si>
  <si>
    <t>AMD Ryzen 7 5700G</t>
  </si>
  <si>
    <t>16GB DDR4</t>
  </si>
  <si>
    <t>AMD Radeon Graphics</t>
  </si>
  <si>
    <t>PC versátil para el hogar con diseño compacto y rendimiento multinúcleo.</t>
  </si>
  <si>
    <t>Dell XPS Desktop</t>
  </si>
  <si>
    <t>Intel Core i7-13700</t>
  </si>
  <si>
    <t>1TB SSD + 2TB HDD</t>
  </si>
  <si>
    <t>NVIDIA RTX 3060 Ti</t>
  </si>
  <si>
    <t>Torre de alto rendimiento para creadores de contenido y edición de video.</t>
  </si>
  <si>
    <t>Alienware Aurora R15</t>
  </si>
  <si>
    <t>Intel Core i9-13900KF</t>
  </si>
  <si>
    <t>64GB DDR5</t>
  </si>
  <si>
    <t>2TB SSD NVMe</t>
  </si>
  <si>
    <t>NVIDIA RTX 4090</t>
  </si>
  <si>
    <t>PC de gaming extremo con enfriamiento líquido y diseño futurista Legend 3.0.</t>
  </si>
  <si>
    <t>Lenovo IdeaCentre 5</t>
  </si>
  <si>
    <t>Intel Core i5-12400</t>
  </si>
  <si>
    <t>12GB DDR4</t>
  </si>
  <si>
    <t>Intel UHD Graphics 730</t>
  </si>
  <si>
    <t>Computadora de escritorio equilibrada para oficina y tareas escolares.</t>
  </si>
  <si>
    <t>iMac 24" M3</t>
  </si>
  <si>
    <t>16GB Unificada</t>
  </si>
  <si>
    <t>Apple M3 GPU 10-core</t>
  </si>
  <si>
    <t>Todo-en-uno vibrante con pantalla Retina 4.5K y diseño ultra delgado.</t>
  </si>
  <si>
    <t>CATEGORIA</t>
  </si>
  <si>
    <t>TOTAL:</t>
  </si>
  <si>
    <t>IVA:</t>
  </si>
  <si>
    <t>SUBTOTAL:</t>
  </si>
  <si>
    <t>GRACIAS POR PREFERIRNOS!!!!!</t>
  </si>
  <si>
    <t>NOMBRE</t>
  </si>
  <si>
    <t>DIRECCION</t>
  </si>
  <si>
    <t>TELEFONO</t>
  </si>
  <si>
    <t>JORGE RIVERA</t>
  </si>
  <si>
    <t>CARLOS REYES</t>
  </si>
  <si>
    <t>ESTER RODRIGUEZ</t>
  </si>
  <si>
    <t>SAN SALVADOR</t>
  </si>
  <si>
    <t>SAN MIGUEL</t>
  </si>
  <si>
    <t>SONSONATE</t>
  </si>
  <si>
    <t>VENDEDOR</t>
  </si>
  <si>
    <t>ZONA</t>
  </si>
  <si>
    <t>DAVID ROMERO</t>
  </si>
  <si>
    <t>ANA JULIA PEREZ</t>
  </si>
  <si>
    <t>V00001</t>
  </si>
  <si>
    <t>V00002</t>
  </si>
  <si>
    <t>V00003</t>
  </si>
  <si>
    <t>CENTRO</t>
  </si>
  <si>
    <t>ORIENTE</t>
  </si>
  <si>
    <t>OCCIDENTE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</si>
</sst>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2F5597"/>
        <bgColor rgb="FF2F5597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  <xf numFmtId="0" fontId="5" fillId="0" borderId="0" xfId="0" applyFont="1" applyAlignment="1">
      <alignment horizontal="right"/>
    </xf>
    <xf numFmtId="0" fontId="7" fillId="4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0" fillId="0" borderId="3" xfId="0" applyBorder="1"/>
    <xf numFmtId="164" fontId="0" fillId="0" borderId="2" xfId="1" applyFont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164" fontId="0" fillId="0" borderId="7" xfId="1" applyFont="1" applyBorder="1"/>
    <xf numFmtId="0" fontId="2" fillId="5" borderId="1" xfId="0" applyFont="1" applyFill="1" applyBorder="1" applyAlignment="1">
      <alignment horizontal="right"/>
    </xf>
    <xf numFmtId="165" fontId="0" fillId="0" borderId="1" xfId="0" applyNumberFormat="1" applyBorder="1"/>
    <xf numFmtId="165" fontId="0" fillId="0" borderId="1" xfId="1" applyNumberFormat="1" applyFont="1" applyBorder="1"/>
    <xf numFmtId="0" fontId="3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Moneda" xfId="1" builtinId="4"/>
    <cellStyle name="Normal" xfId="0" builtinId="0"/>
  </cellStyles>
  <dxfs count="12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F5597"/>
          <bgColor rgb="FF2F559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5" Type="http://schemas.openxmlformats.org/officeDocument/2006/relationships/customXml" Target="../customXml/item3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Relationship Id="rId14" Type="http://schemas.openxmlformats.org/officeDocument/2006/relationships/customXml" Target="../customXml/item2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9E5306-927B-42B6-BE89-1B5FA99E1C8E}" name="VENDEDORES" displayName="VENDEDORES" ref="A1:C4" totalsRowShown="0">
  <autoFilter ref="A1:C4" xr:uid="{7A9E5306-927B-42B6-BE89-1B5FA99E1C8E}"/>
  <tableColumns count="3">
    <tableColumn id="1" xr3:uid="{346F3FA5-40B9-40D9-A93E-A84D0A0790FD}" name="CODIGO"/>
    <tableColumn id="2" xr3:uid="{8EBAAC21-66D8-451E-8A06-A4DA442A6B28}" name="VENDEDOR"/>
    <tableColumn id="3" xr3:uid="{FFECC1F5-9177-494D-9FA3-0919106A49CD}" name="ZON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B5EB0B-AE8C-4D83-9E7B-ACD3768B40E6}" name="Tabla2" displayName="Tabla2" ref="A1:C4" totalsRowShown="0">
  <autoFilter ref="A1:C4" xr:uid="{46B5EB0B-AE8C-4D83-9E7B-ACD3768B40E6}"/>
  <tableColumns count="3">
    <tableColumn id="1" xr3:uid="{BA8DAA60-A0C0-4AC3-8962-A6465DF2B72A}" name="NOMBRE"/>
    <tableColumn id="2" xr3:uid="{EA8EB668-E9AA-4F76-8B4B-F0C1421C9379}" name="DIRECCION"/>
    <tableColumn id="3" xr3:uid="{72345982-CE5B-4DCA-BC72-06546D56B81B}" name="TELEFON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8F2938-C880-4A7C-81EF-B0A1960E8C79}" name="Tabla1" displayName="Tabla1" ref="A1:I11" totalsRowShown="0" headerRowDxfId="11" dataDxfId="10" tableBorderDxfId="9">
  <autoFilter ref="A1:I11" xr:uid="{BC8F2938-C880-4A7C-81EF-B0A1960E8C79}"/>
  <tableColumns count="9">
    <tableColumn id="1" xr3:uid="{2A3C0844-C0E9-4A87-8CB9-0B3685D031CA}" name="Codigo" dataDxfId="8"/>
    <tableColumn id="11" xr3:uid="{A785AD89-93B6-432A-A486-16F626E3F2B0}" name="Descripcion" dataDxfId="7"/>
    <tableColumn id="10" xr3:uid="{0FE3FDCE-EDFD-46B8-BC92-3D70DACFD734}" name="Precio" dataDxfId="6" dataCellStyle="Moneda"/>
    <tableColumn id="2" xr3:uid="{6967260E-15DE-4286-A764-22276EC30E49}" name="Categoría" dataDxfId="5"/>
    <tableColumn id="3" xr3:uid="{CEC34184-49B0-4849-9A1F-BE6F015D2113}" name="Nombre del Producto" dataDxfId="4"/>
    <tableColumn id="4" xr3:uid="{87F45A94-6898-4C57-A8D4-18BDB71C541A}" name="Procesador" dataDxfId="3"/>
    <tableColumn id="5" xr3:uid="{60C98D3E-262F-4BEF-B78F-6B210614A58C}" name="Memoria RAM" dataDxfId="2"/>
    <tableColumn id="6" xr3:uid="{52B3DCD1-D20C-4A11-93C8-5D094CAB1D07}" name="Almacenamiento" dataDxfId="1"/>
    <tableColumn id="7" xr3:uid="{BF87AFFE-076A-4610-BC05-10A94BB00987}" name="Tarjeta Gráf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A1D7-64E4-4251-A9F7-FDB62D722893}">
  <dimension ref="A1:F21"/>
  <sheetViews>
    <sheetView showGridLines="0" tabSelected="1" zoomScale="90" zoomScaleNormal="90" workbookViewId="0">
      <selection activeCell="D12" sqref="D12"/>
    </sheetView>
  </sheetViews>
  <sheetFormatPr baseColWidth="10" defaultRowHeight="13.8"/>
  <cols>
    <col min="1" max="1" width="13.69921875" customWidth="1"/>
    <col min="2" max="2" width="24.09765625" customWidth="1"/>
    <col min="3" max="3" width="66.09765625" bestFit="1" customWidth="1"/>
    <col min="4" max="4" width="28.69921875" customWidth="1"/>
    <col min="5" max="5" width="17.8984375" customWidth="1"/>
    <col min="6" max="6" width="16.59765625" customWidth="1"/>
  </cols>
  <sheetData>
    <row r="1" spans="1:6">
      <c r="A1" s="22" t="e" vm="1">
        <v>#VALUE!</v>
      </c>
      <c r="B1" s="22"/>
    </row>
    <row r="2" spans="1:6" ht="45">
      <c r="A2" s="22"/>
      <c r="B2" s="22"/>
      <c r="C2" s="21" t="s">
        <v>12</v>
      </c>
      <c r="D2" s="21"/>
      <c r="E2" s="4" t="s">
        <v>13</v>
      </c>
    </row>
    <row r="3" spans="1:6">
      <c r="A3" s="22"/>
      <c r="B3" s="22"/>
      <c r="E3" s="4" t="s">
        <v>11</v>
      </c>
      <c r="F3" s="5">
        <f ca="1">TODAY()</f>
        <v>46160</v>
      </c>
    </row>
    <row r="4" spans="1:6">
      <c r="A4" s="23"/>
      <c r="B4" s="23"/>
    </row>
    <row r="5" spans="1:6" ht="15">
      <c r="A5" s="19" t="s">
        <v>2</v>
      </c>
      <c r="B5" s="20"/>
      <c r="C5" s="19" t="s">
        <v>0</v>
      </c>
      <c r="D5" s="20"/>
      <c r="E5" s="19" t="s">
        <v>1</v>
      </c>
      <c r="F5" s="20"/>
    </row>
    <row r="7" spans="1:6" ht="15">
      <c r="A7" s="6" t="s">
        <v>7</v>
      </c>
      <c r="B7" s="1" t="str">
        <f>IFERROR(VLOOKUP(D7,CLIENTES,2,FALSE),"")</f>
        <v>SONSONATE</v>
      </c>
      <c r="C7" s="6" t="s">
        <v>9</v>
      </c>
      <c r="D7" s="1" t="s">
        <v>99</v>
      </c>
      <c r="E7" s="6" t="s">
        <v>15</v>
      </c>
      <c r="F7" s="1" t="s">
        <v>109</v>
      </c>
    </row>
    <row r="8" spans="1:6" ht="15">
      <c r="A8" s="6" t="s">
        <v>8</v>
      </c>
      <c r="B8" s="1" t="str">
        <f>IFERROR(VLOOKUP(D7,CLIENTES,2,FALSE),"")</f>
        <v>SONSONATE</v>
      </c>
      <c r="C8" s="6" t="s">
        <v>10</v>
      </c>
      <c r="D8" s="2">
        <f>IFERROR(VLOOKUP(D7,CLIENTES,3,FALSE),"")</f>
        <v>44225566</v>
      </c>
      <c r="E8" s="6" t="s">
        <v>103</v>
      </c>
      <c r="F8" s="1" t="str">
        <f>IFERROR(VLOOKUP(F7,VENDEDORES[],2,FALSE),"")</f>
        <v>ANA JULIA PEREZ</v>
      </c>
    </row>
    <row r="11" spans="1:6" ht="15">
      <c r="A11" s="3" t="s">
        <v>14</v>
      </c>
      <c r="B11" s="3" t="s">
        <v>89</v>
      </c>
      <c r="C11" s="3" t="s">
        <v>3</v>
      </c>
      <c r="D11" s="3" t="s">
        <v>4</v>
      </c>
      <c r="E11" s="3" t="s">
        <v>5</v>
      </c>
      <c r="F11" s="3" t="s">
        <v>6</v>
      </c>
    </row>
    <row r="12" spans="1:6" ht="15">
      <c r="A12" s="2" t="s">
        <v>19</v>
      </c>
      <c r="B12" s="2" t="str">
        <f t="shared" ref="B12:B17" si="0">IFERROR(VLOOKUP(A12,PRODUCTOS,4,FALSE),"")</f>
        <v>Laptop</v>
      </c>
      <c r="C12" s="1" t="str">
        <f t="shared" ref="C12:C17" si="1">IFERROR(VLOOKUP(A12,PRODUCTOS,2,FALSE),"")</f>
        <v>Laptop ultraportátil con pantalla OLED de 14 pulgadas y gran autonomía.</v>
      </c>
      <c r="D12" s="1"/>
      <c r="E12" s="17">
        <f t="shared" ref="E12:E17" si="2">IFERROR(VLOOKUP(A12,PRODUCTOS,3,FALSE),"")</f>
        <v>550</v>
      </c>
      <c r="F12" s="16">
        <f>IFERROR((E12*D12),"")</f>
        <v>0</v>
      </c>
    </row>
    <row r="13" spans="1:6" ht="15">
      <c r="A13" s="2"/>
      <c r="B13" s="2" t="str">
        <f t="shared" si="0"/>
        <v/>
      </c>
      <c r="C13" s="1" t="str">
        <f t="shared" si="1"/>
        <v/>
      </c>
      <c r="D13" s="1"/>
      <c r="E13" s="17" t="str">
        <f t="shared" si="2"/>
        <v/>
      </c>
      <c r="F13" s="16" t="str">
        <f t="shared" ref="F13:F17" si="3">IFERROR((E13*D13),"")</f>
        <v/>
      </c>
    </row>
    <row r="14" spans="1:6" ht="15">
      <c r="A14" s="2"/>
      <c r="B14" s="2" t="str">
        <f t="shared" si="0"/>
        <v/>
      </c>
      <c r="C14" s="1" t="str">
        <f t="shared" si="1"/>
        <v/>
      </c>
      <c r="D14" s="1"/>
      <c r="E14" s="17" t="str">
        <f t="shared" si="2"/>
        <v/>
      </c>
      <c r="F14" s="16" t="str">
        <f t="shared" si="3"/>
        <v/>
      </c>
    </row>
    <row r="15" spans="1:6" ht="15">
      <c r="A15" s="2"/>
      <c r="B15" s="2" t="str">
        <f t="shared" si="0"/>
        <v/>
      </c>
      <c r="C15" s="1" t="str">
        <f t="shared" si="1"/>
        <v/>
      </c>
      <c r="D15" s="1"/>
      <c r="E15" s="17" t="str">
        <f t="shared" si="2"/>
        <v/>
      </c>
      <c r="F15" s="16" t="str">
        <f t="shared" si="3"/>
        <v/>
      </c>
    </row>
    <row r="16" spans="1:6" ht="15">
      <c r="A16" s="2"/>
      <c r="B16" s="2" t="str">
        <f t="shared" si="0"/>
        <v/>
      </c>
      <c r="C16" s="1" t="str">
        <f t="shared" si="1"/>
        <v/>
      </c>
      <c r="D16" s="1"/>
      <c r="E16" s="17" t="str">
        <f t="shared" si="2"/>
        <v/>
      </c>
      <c r="F16" s="16" t="str">
        <f t="shared" si="3"/>
        <v/>
      </c>
    </row>
    <row r="17" spans="1:6" ht="15">
      <c r="A17" s="2"/>
      <c r="B17" s="2" t="str">
        <f t="shared" si="0"/>
        <v/>
      </c>
      <c r="C17" s="1" t="str">
        <f t="shared" si="1"/>
        <v/>
      </c>
      <c r="D17" s="1"/>
      <c r="E17" s="17" t="str">
        <f t="shared" si="2"/>
        <v/>
      </c>
      <c r="F17" s="16" t="str">
        <f t="shared" si="3"/>
        <v/>
      </c>
    </row>
    <row r="18" spans="1:6" ht="15">
      <c r="E18" s="15" t="s">
        <v>92</v>
      </c>
      <c r="F18" s="16">
        <f>IFERROR(SUM(F12:F17),"")</f>
        <v>0</v>
      </c>
    </row>
    <row r="19" spans="1:6" ht="15">
      <c r="E19" s="15" t="s">
        <v>91</v>
      </c>
      <c r="F19" s="16">
        <f>F18*0.13</f>
        <v>0</v>
      </c>
    </row>
    <row r="20" spans="1:6" ht="15">
      <c r="E20" s="15" t="s">
        <v>90</v>
      </c>
      <c r="F20" s="16">
        <f>F18+F19</f>
        <v>0</v>
      </c>
    </row>
    <row r="21" spans="1:6" ht="15">
      <c r="C21" s="18" t="s">
        <v>93</v>
      </c>
    </row>
  </sheetData>
  <mergeCells count="5">
    <mergeCell ref="A5:B5"/>
    <mergeCell ref="E5:F5"/>
    <mergeCell ref="C5:D5"/>
    <mergeCell ref="C2:D2"/>
    <mergeCell ref="A1:B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D58C826-C682-4A0A-AB58-761E2C9014C2}">
          <x14:formula1>
            <xm:f>Clientes!$A$2:$A$4</xm:f>
          </x14:formula1>
          <xm:sqref>D7</xm:sqref>
        </x14:dataValidation>
        <x14:dataValidation type="list" allowBlank="1" showInputMessage="1" showErrorMessage="1" xr:uid="{3172ADBE-A67B-4213-BCEA-26AF3C9C1B8A}">
          <x14:formula1>
            <xm:f>Vendedores!$A$2:$A$19</xm:f>
          </x14:formula1>
          <xm:sqref>F7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6FF7-147B-47B4-BA0B-1B5A0A7C2C0B}">
  <dimension ref="A1:C4"/>
  <sheetViews>
    <sheetView workbookViewId="0">
      <selection activeCell="A2" sqref="A2:C4"/>
    </sheetView>
  </sheetViews>
  <sheetFormatPr baseColWidth="10" defaultRowHeight="13.8"/>
  <cols>
    <col min="1" max="1" width="10.8984375" customWidth="1"/>
    <col min="2" max="2" width="15.3984375" bestFit="1" customWidth="1"/>
    <col min="3" max="3" width="11" bestFit="1" customWidth="1"/>
  </cols>
  <sheetData>
    <row r="1" spans="1:3">
      <c r="A1" t="s">
        <v>14</v>
      </c>
      <c r="B1" t="s">
        <v>103</v>
      </c>
      <c r="C1" t="s">
        <v>104</v>
      </c>
    </row>
    <row r="2" spans="1:3">
      <c r="A2" t="s">
        <v>107</v>
      </c>
      <c r="B2" t="s">
        <v>98</v>
      </c>
      <c r="C2" t="s">
        <v>110</v>
      </c>
    </row>
    <row r="3" spans="1:3">
      <c r="A3" t="s">
        <v>108</v>
      </c>
      <c r="B3" t="s">
        <v>105</v>
      </c>
      <c r="C3" t="s">
        <v>111</v>
      </c>
    </row>
    <row r="4" spans="1:3">
      <c r="A4" t="s">
        <v>109</v>
      </c>
      <c r="B4" t="s">
        <v>106</v>
      </c>
      <c r="C4" t="s">
        <v>112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70AD-2A27-4FF6-8FC4-FDEE83EA84E4}">
  <dimension ref="A1:C4"/>
  <sheetViews>
    <sheetView workbookViewId="0">
      <selection sqref="A1:C4"/>
    </sheetView>
  </sheetViews>
  <sheetFormatPr baseColWidth="10" defaultRowHeight="13.8"/>
  <cols>
    <col min="1" max="1" width="16.8984375" bestFit="1" customWidth="1"/>
    <col min="2" max="2" width="14.09765625" bestFit="1" customWidth="1"/>
    <col min="3" max="3" width="12.69921875" customWidth="1"/>
  </cols>
  <sheetData>
    <row r="1" spans="1:3">
      <c r="A1" t="s">
        <v>94</v>
      </c>
      <c r="B1" t="s">
        <v>95</v>
      </c>
      <c r="C1" t="s">
        <v>96</v>
      </c>
    </row>
    <row r="2" spans="1:3">
      <c r="A2" t="s">
        <v>97</v>
      </c>
      <c r="B2" t="s">
        <v>100</v>
      </c>
      <c r="C2">
        <v>22558899</v>
      </c>
    </row>
    <row r="3" spans="1:3">
      <c r="A3" t="s">
        <v>98</v>
      </c>
      <c r="B3" t="s">
        <v>101</v>
      </c>
      <c r="C3">
        <v>44556699</v>
      </c>
    </row>
    <row r="4" spans="1:3">
      <c r="A4" t="s">
        <v>99</v>
      </c>
      <c r="B4" t="s">
        <v>102</v>
      </c>
      <c r="C4">
        <v>44225566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5EE11-98E6-48ED-A57C-44705590B0C3}">
  <dimension ref="A1:I11"/>
  <sheetViews>
    <sheetView workbookViewId="0">
      <selection activeCell="D7" sqref="D7"/>
    </sheetView>
  </sheetViews>
  <sheetFormatPr baseColWidth="10" defaultRowHeight="13.8"/>
  <cols>
    <col min="1" max="1" width="11.69921875" bestFit="1" customWidth="1"/>
    <col min="2" max="2" width="74.59765625" bestFit="1" customWidth="1"/>
    <col min="3" max="3" width="11.09765625" bestFit="1" customWidth="1"/>
    <col min="4" max="4" width="14.69921875" bestFit="1" customWidth="1"/>
    <col min="5" max="5" width="24.69921875" bestFit="1" customWidth="1"/>
    <col min="6" max="6" width="19.59765625" bestFit="1" customWidth="1"/>
    <col min="7" max="7" width="18.3984375" bestFit="1" customWidth="1"/>
    <col min="8" max="8" width="20.8984375" bestFit="1" customWidth="1"/>
    <col min="9" max="9" width="21.296875" bestFit="1" customWidth="1"/>
  </cols>
  <sheetData>
    <row r="1" spans="1:9" ht="14.4">
      <c r="A1" s="8" t="s">
        <v>16</v>
      </c>
      <c r="B1" s="8" t="s">
        <v>17</v>
      </c>
      <c r="C1" s="8" t="s">
        <v>18</v>
      </c>
      <c r="D1" s="7" t="s">
        <v>29</v>
      </c>
      <c r="E1" s="7" t="s">
        <v>30</v>
      </c>
      <c r="F1" s="7" t="s">
        <v>31</v>
      </c>
      <c r="G1" s="7" t="s">
        <v>32</v>
      </c>
      <c r="H1" s="7" t="s">
        <v>33</v>
      </c>
      <c r="I1" s="7" t="s">
        <v>34</v>
      </c>
    </row>
    <row r="2" spans="1:9">
      <c r="A2" s="9" t="s">
        <v>19</v>
      </c>
      <c r="B2" s="1" t="s">
        <v>41</v>
      </c>
      <c r="C2" s="10">
        <v>550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</row>
    <row r="3" spans="1:9" ht="15">
      <c r="A3" s="9" t="s">
        <v>20</v>
      </c>
      <c r="B3" s="1" t="s">
        <v>45</v>
      </c>
      <c r="C3" s="10">
        <v>600</v>
      </c>
      <c r="D3" s="2" t="s">
        <v>35</v>
      </c>
      <c r="E3" s="2" t="s">
        <v>42</v>
      </c>
      <c r="F3" s="2" t="s">
        <v>43</v>
      </c>
      <c r="G3" s="2" t="s">
        <v>38</v>
      </c>
      <c r="H3" s="2" t="s">
        <v>44</v>
      </c>
      <c r="I3" s="2" t="s">
        <v>40</v>
      </c>
    </row>
    <row r="4" spans="1:9">
      <c r="A4" s="9" t="s">
        <v>21</v>
      </c>
      <c r="B4" s="1" t="s">
        <v>51</v>
      </c>
      <c r="C4" s="10">
        <v>350</v>
      </c>
      <c r="D4" s="2" t="s">
        <v>35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</row>
    <row r="5" spans="1:9" ht="15">
      <c r="A5" s="9" t="s">
        <v>22</v>
      </c>
      <c r="B5" s="1" t="s">
        <v>57</v>
      </c>
      <c r="C5" s="10">
        <v>800</v>
      </c>
      <c r="D5" s="2" t="s">
        <v>35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</row>
    <row r="6" spans="1:9">
      <c r="A6" s="9" t="s">
        <v>23</v>
      </c>
      <c r="B6" s="1" t="s">
        <v>62</v>
      </c>
      <c r="C6" s="10">
        <v>700</v>
      </c>
      <c r="D6" s="2" t="s">
        <v>35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40</v>
      </c>
    </row>
    <row r="7" spans="1:9">
      <c r="A7" s="9" t="s">
        <v>24</v>
      </c>
      <c r="B7" s="1" t="s">
        <v>68</v>
      </c>
      <c r="C7" s="10">
        <v>450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61</v>
      </c>
      <c r="I7" s="2" t="s">
        <v>67</v>
      </c>
    </row>
    <row r="8" spans="1:9">
      <c r="A8" s="9" t="s">
        <v>25</v>
      </c>
      <c r="B8" s="1" t="s">
        <v>73</v>
      </c>
      <c r="C8" s="10">
        <v>650</v>
      </c>
      <c r="D8" s="2" t="s">
        <v>63</v>
      </c>
      <c r="E8" s="2" t="s">
        <v>69</v>
      </c>
      <c r="F8" s="2" t="s">
        <v>70</v>
      </c>
      <c r="G8" s="2" t="s">
        <v>54</v>
      </c>
      <c r="H8" s="2" t="s">
        <v>71</v>
      </c>
      <c r="I8" s="2" t="s">
        <v>72</v>
      </c>
    </row>
    <row r="9" spans="1:9">
      <c r="A9" s="9" t="s">
        <v>26</v>
      </c>
      <c r="B9" s="1" t="s">
        <v>79</v>
      </c>
      <c r="C9" s="10">
        <v>700</v>
      </c>
      <c r="D9" s="2" t="s">
        <v>63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</row>
    <row r="10" spans="1:9" ht="15">
      <c r="A10" s="9" t="s">
        <v>27</v>
      </c>
      <c r="B10" s="1" t="s">
        <v>84</v>
      </c>
      <c r="C10" s="10">
        <v>1000</v>
      </c>
      <c r="D10" s="2" t="s">
        <v>63</v>
      </c>
      <c r="E10" s="2" t="s">
        <v>80</v>
      </c>
      <c r="F10" s="2" t="s">
        <v>81</v>
      </c>
      <c r="G10" s="2" t="s">
        <v>82</v>
      </c>
      <c r="H10" s="2" t="s">
        <v>61</v>
      </c>
      <c r="I10" s="2" t="s">
        <v>83</v>
      </c>
    </row>
    <row r="11" spans="1:9">
      <c r="A11" s="11" t="s">
        <v>28</v>
      </c>
      <c r="B11" s="13" t="s">
        <v>88</v>
      </c>
      <c r="C11" s="14">
        <v>1500</v>
      </c>
      <c r="D11" s="12" t="s">
        <v>63</v>
      </c>
      <c r="E11" s="12" t="s">
        <v>85</v>
      </c>
      <c r="F11" s="12" t="s">
        <v>47</v>
      </c>
      <c r="G11" s="12" t="s">
        <v>86</v>
      </c>
      <c r="H11" s="12" t="s">
        <v>61</v>
      </c>
      <c r="I11" s="12" t="s">
        <v>87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8E9AAAC6E19D41AD8F201282E900DF" ma:contentTypeVersion="10" ma:contentTypeDescription="Crear nuevo documento." ma:contentTypeScope="" ma:versionID="2a75a549729a93c551be168fce6e8d8a">
  <xsd:schema xmlns:xsd="http://www.w3.org/2001/XMLSchema" xmlns:xs="http://www.w3.org/2001/XMLSchema" xmlns:p="http://schemas.microsoft.com/office/2006/metadata/properties" xmlns:ns2="c5c0804f-c1da-4316-9c2d-5641dffcfd0a" xmlns:ns3="af53f4bc-e314-41be-bb57-b5447d8ace07" targetNamespace="http://schemas.microsoft.com/office/2006/metadata/properties" ma:root="true" ma:fieldsID="84a9768f303b41751f5f2aaf8f073e8f" ns2:_="" ns3:_="">
    <xsd:import namespace="c5c0804f-c1da-4316-9c2d-5641dffcfd0a"/>
    <xsd:import namespace="af53f4bc-e314-41be-bb57-b5447d8ace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804f-c1da-4316-9c2d-5641dffcfd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055cfd9-3015-4232-b31a-773da062a5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53f4bc-e314-41be-bb57-b5447d8ace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e87bcc-5f25-41a1-9746-4cc37718d434}" ma:internalName="TaxCatchAll" ma:showField="CatchAllData" ma:web="af53f4bc-e314-41be-bb57-b5447d8ace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c0804f-c1da-4316-9c2d-5641dffcfd0a">
      <Terms xmlns="http://schemas.microsoft.com/office/infopath/2007/PartnerControls"/>
    </lcf76f155ced4ddcb4097134ff3c332f>
    <TaxCatchAll xmlns="af53f4bc-e314-41be-bb57-b5447d8ace07" xsi:nil="true"/>
  </documentManagement>
</p:properties>
</file>

<file path=customXml/itemProps1.xml><?xml version="1.0" encoding="utf-8"?>
<ds:datastoreItem xmlns:ds="http://schemas.openxmlformats.org/officeDocument/2006/customXml" ds:itemID="{A646AE1A-7DCA-44FA-9C97-36780173CB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4A937D-71A1-4CE1-BACD-6D2418E2DA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c0804f-c1da-4316-9c2d-5641dffcfd0a"/>
    <ds:schemaRef ds:uri="af53f4bc-e314-41be-bb57-b5447d8ace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C81C57-0F3F-4D96-A05E-A976F31C8A88}">
  <ds:schemaRefs>
    <ds:schemaRef ds:uri="http://schemas.microsoft.com/office/2006/metadata/properties"/>
    <ds:schemaRef ds:uri="http://schemas.microsoft.com/office/infopath/2007/PartnerControls"/>
    <ds:schemaRef ds:uri="c5c0804f-c1da-4316-9c2d-5641dffcfd0a"/>
    <ds:schemaRef ds:uri="af53f4bc-e314-41be-bb57-b5447d8ace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Factura</vt:lpstr>
      <vt:lpstr>Vendedores</vt:lpstr>
      <vt:lpstr>Clientes</vt:lpstr>
      <vt:lpstr>Productos</vt:lpstr>
      <vt:lpstr>CLIENTES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Salazar</dc:creator>
  <cp:lastModifiedBy>Ricardo Fabricio Guevara Zelaya</cp:lastModifiedBy>
  <dcterms:created xsi:type="dcterms:W3CDTF">2026-04-17T15:23:34Z</dcterms:created>
  <dcterms:modified xsi:type="dcterms:W3CDTF">2026-05-18T06:24:06Z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0x0101005A8E9AAAC6E19D41AD8F201282E900DF</vt:lpwstr>
  </property>
</Properties>
</file>